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<sst xmlns="http://schemas.openxmlformats.org/spreadsheetml/2006/main" count="253" uniqueCount="196">
  <si>
    <t>ID</t>
  </si>
  <si>
    <t>Question</t>
  </si>
  <si>
    <t>c1</t>
  </si>
  <si>
    <t>c2</t>
  </si>
  <si>
    <t>c3</t>
  </si>
  <si>
    <t>c4</t>
  </si>
  <si>
    <t>ans</t>
  </si>
  <si>
    <t>b</t>
  </si>
  <si>
    <t>ข้อใดคือสกุลเงิน Cryptocurrency</t>
  </si>
  <si>
    <t>Bitcoin Cash</t>
  </si>
  <si>
    <t>Litecoin</t>
  </si>
  <si>
    <t>Dogecoin</t>
  </si>
  <si>
    <t>ถูกทุกข้อ</t>
  </si>
  <si>
    <t>ใครเป็นผู้คิดค้น Bitcoin?</t>
  </si>
  <si>
    <t>CIA</t>
  </si>
  <si>
    <t>Satoshi Nakamoto</t>
  </si>
  <si>
    <t>ผู้ก่อตั้ง Paypal</t>
  </si>
  <si>
    <t>กลุ่มนักวิจัยจาก MIT</t>
  </si>
  <si>
    <t>Blockchain คืออะไร</t>
  </si>
  <si>
    <t>เทคโนโลยีตัวช่วยด้านความปลอดภัย (Security) และความน่าเชื่อถือ (Trust) ในการทำธุรกรรมการเงินโดยไม่ต้องอาศัยคนกลาง</t>
  </si>
  <si>
    <t>แผนการลงทุนธุรกิจ</t>
  </si>
  <si>
    <t>ระบบรักษาความปลอดภัยทางด้านการเงิน</t>
  </si>
  <si>
    <t>กล่องลงทุนเป็นลูกโซ่</t>
  </si>
  <si>
    <t>Blockchain แบ่งออกเป็นกี่ประเภทอะไรบ้าง</t>
  </si>
  <si>
    <t>3 ประเภท Blockchain แบบเปิดสาธารณะ (Public Blockchain) Blockchain แบบปิด (Private Blockchain) Blockchain แบบเฉพาะกลุ่ม (Consortium Blockchain)</t>
  </si>
  <si>
    <t>3 ประเภท Blockchain แบบเปิดสาธารณะ (Public Blockchain) Blockchain แบบปิด (Private Blockchain) Blockchain แบบคู่ (Pair Blockchain)</t>
  </si>
  <si>
    <t>4 ประเภท Blockchain แบบคู่ (Pair Blockchain) Blockchain แบบเปิดสาธารณะ (Public Blockchain) Blockchain แบบปิด (Private Blockchain) Blockchain แบบเฉพาะกลุ่ม (Consortium Blockchain)</t>
  </si>
  <si>
    <t>5 ประเภท Blockchain แบบคู่ (Pair Blockchain) Blockchain แบบสามทาง (Triple Way Blockchain) Blockchain แบบเปิดสาธารณะ (Public Blockchain) Blockchain แบบปิด (Private Blockchain) Blockchain แบบเฉพาะกลุ่ม (Consortium Blockchain)</t>
  </si>
  <si>
    <t>1ซาโตชิเท่ากับกี่บิทคอยน์</t>
  </si>
  <si>
    <t>0.01 BTC</t>
  </si>
  <si>
    <t>0.00000001 BTC</t>
  </si>
  <si>
    <t>0.000001 BTC</t>
  </si>
  <si>
    <t>10 BTC</t>
  </si>
  <si>
    <t>Market Cap สำหรับ Cryptocurrency สามารถคำนวณได้จากอะไร</t>
  </si>
  <si>
    <t>ราคาของหลักทรัพย์ คูณ จำนวนหลักทรัพย์ในเวลาปัจจุบัน</t>
  </si>
  <si>
    <t>จำนวนเหรียญในตลาดทั้งหมด คูณ ราคาเหรียญนั้น ๆ ณ เวลาปัจจุบัน</t>
  </si>
  <si>
    <t>จำนวนเหรียญในตลาดทั้งหมด คูณ จำนวนหลักทรัพย์ในเวลาปัจจุบัน</t>
  </si>
  <si>
    <t>ราคาของหลักทรัพย์ คูณ ราคาเหรียญนั้น ๆ ณ เวลาปัจจุบัน</t>
  </si>
  <si>
    <t>NFT ซื้อขายกันอย่างไร</t>
  </si>
  <si>
    <t>ใช้เงินสด</t>
  </si>
  <si>
    <t>โอนเงินผ่านพร้อมเพย์</t>
  </si>
  <si>
    <t>ใช้เหรียญ Cryptocurrency</t>
  </si>
  <si>
    <t>ไม่มีข้อถูก</t>
  </si>
  <si>
    <t>ความหมายของ Cryptocurrency คืออะไร</t>
  </si>
  <si>
    <t>Crypto หมายถึง การเข้ารหัส Currency หมายถึง สกุลเงิน</t>
  </si>
  <si>
    <t>หนึ่งในสกุลเงินที่ใช้ออนไลน์</t>
  </si>
  <si>
    <t>สกุลเงินที่ใช้ทั่วไป</t>
  </si>
  <si>
    <t>Crypto หมายถึง ห้องใต้ดิน Currency หมายถึง สกุลเงิน</t>
  </si>
  <si>
    <t>ระบบโอนเงินธุรกิจออนไลน์</t>
  </si>
  <si>
    <t>ระบบกระจายข้อมูล</t>
  </si>
  <si>
    <t>.ระบบการเก็บข้อมูลโดยต้องพึ่งตัวกลาง</t>
  </si>
  <si>
    <t>ระบบการเก็บข้อมูลโดยไม่พึ่งตัวกลาง</t>
  </si>
  <si>
    <t>การบันทึกธุรกรรม cryptocurrency หรือ Bitcoin จะถูกเก็บไว้บนสมุดบัญชีที่เรียกว่าอะไร</t>
  </si>
  <si>
    <t>Internet Banking</t>
  </si>
  <si>
    <t>Cyber Banking</t>
  </si>
  <si>
    <t>Blockchain</t>
  </si>
  <si>
    <t>Peer to Peer Lending</t>
  </si>
  <si>
    <t>ราคาของ Bitcoin ถูกกำหนดจากอะไร?</t>
  </si>
  <si>
    <t>ผ่านอุปสงค์และอุปทานในการแลกเปลี่ยน Bitcoin หลายรายการ</t>
  </si>
  <si>
    <t>ราคาผูกกับ USD</t>
  </si>
  <si>
    <t>กำหนดโดยความต้องการในการทำธุรกรรมในปัจจุบัน</t>
  </si>
  <si>
    <t>กำหนดโดยนักพัฒนาของ Bitcoin</t>
  </si>
  <si>
    <t>ข้อเสียของ Blockchain คืออะไร</t>
  </si>
  <si>
    <t>เก็บข้อมูลช้าเมื่อเทียบกับระบบ Centralize</t>
  </si>
  <si>
    <t>จะมีข้อมูลที่ขัดแย้งถ้าใช้งานระยะยาว</t>
  </si>
  <si>
    <t>มีความซ้ำซ้อนของข้อมูลสูง</t>
  </si>
  <si>
    <t>ไม่สามารถลบ หรือกลับไปแก้ไขรายการได้</t>
  </si>
  <si>
    <t>ความแตกต่างของ CBDC และ Cryptocurrency คืออะไร</t>
  </si>
  <si>
    <t>CBDC เป็นระบบการเงินแบบ ‘ไร้ตัวกลาง’ แต่มีผู้ควบคุมระบบ แต่ Cryptocurrency ไม่มีผู้ควบคุม</t>
  </si>
  <si>
    <t>CBDC ไม่มีธนาคารกลางรับรองมูลค่าเหมือน Cryptocurrency</t>
  </si>
  <si>
    <t>CBDC มีมูลค่ามั่นคงกว่า Cryptocurrency เมื่อเทียบกับการเก็งกำไร</t>
  </si>
  <si>
    <t>CBDC มีทุกอย่างเหมือน Cryptocurrency ต่างตรงที่ CBDC ออกโดยภาคเอกชน</t>
  </si>
  <si>
    <t>NFT ย่อมาจากอะไร</t>
  </si>
  <si>
    <t>Natual-Friend Token</t>
  </si>
  <si>
    <t>Non-Fun-Trade</t>
  </si>
  <si>
    <t>Non-Fungible Token</t>
  </si>
  <si>
    <t>Nice- Function Trade</t>
  </si>
  <si>
    <t>ตลาดซื้อขาย NFT ต้องมีอะไรบ้างจึงจะเข้าได้อย่างสมบูรณ์</t>
  </si>
  <si>
    <t>กระเป๋าเงินคริปโท</t>
  </si>
  <si>
    <t>เงินในกระเป๋าคริปโท</t>
  </si>
  <si>
    <t>บัญชีผู้ใช้งาน</t>
  </si>
  <si>
    <t>ถูกทุกข้อที่กล่าวมา</t>
  </si>
  <si>
    <t>แพลตฟอร์มที่ Ethereum ใช้เป็นแพลตฟอร์มที่มีคุณสมบัติเด่นแบบใด</t>
  </si>
  <si>
    <t>Smart Contract</t>
  </si>
  <si>
    <t>Consensus</t>
  </si>
  <si>
    <t>Proof of stake</t>
  </si>
  <si>
    <t>ข้อใดคือความหมายของ Stablecoin</t>
  </si>
  <si>
    <t>เป็นแนวคิดของการสร้างระบบการเงินไร้ตัวกลางมาทําหน้าที่บันทึกและดําเนินธุรกรรมอัตโนมัติ</t>
  </si>
  <si>
    <t>เป็นวิธีการลงทุนในCryptocurrencyที่สามารถทํากําไรให้กับนักลงทุนได้</t>
  </si>
  <si>
    <t>เป็นCryptocurrencyที่สามารถคงมูลค่าไว้คงที่โดยถูกออกแบบให้มีมูลค่าอ้างอิงตามสินทรัพย์อื่น</t>
  </si>
  <si>
    <t>เป็นCryptocurrencyที่นิยมมากขึ้นโดยเป็นผลมาจากการที่Influencerทําการโปรโมทเหรียญทางออนไลน์ที่ทําให้เหรียญมีราคาเพิ่มขึ้นอย่างรวดเร็ว</t>
  </si>
  <si>
    <t>Platform ที่ขาย Cryptocurrency ใดที่ไม่ได้กำเนิดในไทย</t>
  </si>
  <si>
    <t>Bitkub</t>
  </si>
  <si>
    <t>Binance</t>
  </si>
  <si>
    <t>Satang Pro</t>
  </si>
  <si>
    <t>Bitazza</t>
  </si>
  <si>
    <t>Cryptocurrency มีข้อดีอย่างไรบ้าง</t>
  </si>
  <si>
    <t>ไม่เสียค่าธรรมเนียมในการโอน</t>
  </si>
  <si>
    <t>การโอนจะสามารถทำได้ง่ายขึ้น สะดวกยิ่งขึ้น ผ่านการใช้กุญแจสาธารณะ และกุญแจส่วนตัวเพื่อความปลอดภัย</t>
  </si>
  <si>
    <t>มีความมั่นคงของเงินดิจิตอลและธนาคารมั่นใจในสกุลเงินดิจิติล</t>
  </si>
  <si>
    <t>สกุลเงินดิจิตอลไม่มีวันหายไป</t>
  </si>
  <si>
    <t>เหรียญใดคือเหรียญ Stable coin ราคาคงที่</t>
  </si>
  <si>
    <t>Dash</t>
  </si>
  <si>
    <t>PancakeSwap</t>
  </si>
  <si>
    <t>Tether (USDT)</t>
  </si>
  <si>
    <t>ถ้าหากนักศึกษาซื้อ Bitcoin ณ ราคา 100,000 บาท จำนวน 0.5 BTC และเวลาต่อมา Bitcoin มีราคาพุ่งสูงขึ้นถึง 1,000,000 บาท ถ้าหากนักศึกษาขาย Bitcoin ณ ตอนนี้ นักศึกษาจะได้เงินจากการขาย Bitcoin จำนวน 0.5 BTC เป็นเงินจำนวนกี่บาท</t>
  </si>
  <si>
    <t>50,000 บาท</t>
  </si>
  <si>
    <t>150,000 บาท</t>
  </si>
  <si>
    <t>490,000 บาท</t>
  </si>
  <si>
    <t>500,000 บาท</t>
  </si>
  <si>
    <t>แอปพลิเคชันCryptocurrencyexchangeมีไว้เพื่ออะไร</t>
  </si>
  <si>
    <t>มีไว้สำหรับดูกราฟหุ้นเท่านั้น</t>
  </si>
  <si>
    <t>มีไว้สำหรับขายเหรียญ Crypto เท่านั้น</t>
  </si>
  <si>
    <t>มีไว้สำหรับขุดเหรียญต่างๆ</t>
  </si>
  <si>
    <t>มีไว้สำหรับซื้อและขายเหรียญ Crypto</t>
  </si>
  <si>
    <t>แพลตฟอร์มอะไรที่ไม่ใช่แพลตฟอร์มในการเทรด หรือซื้อขายแลกเปลี่ยนเหรียญ Cryptocurrency</t>
  </si>
  <si>
    <t>Coinbase</t>
  </si>
  <si>
    <t>Tradingview</t>
  </si>
  <si>
    <t>ข้อใดต่อไปนี้ข้อใดผิด</t>
  </si>
  <si>
    <t>Bitcoin สามารถซื้อในหน่วยทศนิยมได้ เช่น 0.1 BTC , 0.25 BTC , 0.5 BTC</t>
  </si>
  <si>
    <t>สามารถครอบครอง Bitcoin ได้ด้วยการซื้อเท่านั้น</t>
  </si>
  <si>
    <t>Cryptocurrency สามารถใช้แทนเงินสดได้</t>
  </si>
  <si>
    <t>นอกจากครอบครอง Bitcoin ได้ด้วยการซื้อสามารถขุดได้ด้วย</t>
  </si>
  <si>
    <t>อายุเท่าไหร่ถึงจะสามารถลงทุน Cryptocurrency ได้เอง</t>
  </si>
  <si>
    <t>Tesla ซื้อ Bitcoin ในราคาเท่าไหร่</t>
  </si>
  <si>
    <t>1.5 ร้อยล้านเหรียญดอลล่าสหรัฐ</t>
  </si>
  <si>
    <t>1.5 พันล้านเหรียญดอลล่าสหรัฐ</t>
  </si>
  <si>
    <t>1.5 หมื่นล้านเหรียญดอลล่าสหรัฐ</t>
  </si>
  <si>
    <t>1.5 แสนล้านเหรียญดอลล่าสหรัฐ</t>
  </si>
  <si>
    <t>ใครสามารถเปลี่ยน Code Bitcoin แล้ว Pull Request ได้?</t>
  </si>
  <si>
    <t>ใครๆก็เปลี่ยนได</t>
  </si>
  <si>
    <t>ผู้คิดค้น Bitcoin</t>
  </si>
  <si>
    <t>ทีมผู้พัฒนา Bitcoin</t>
  </si>
  <si>
    <t>ผู้เปิด Full node ของ Bitcoin</t>
  </si>
  <si>
    <t>อะไรไม่มีใน Ethereum</t>
  </si>
  <si>
    <t>Smart contract</t>
  </si>
  <si>
    <t>Turing complete</t>
  </si>
  <si>
    <t>UTXO</t>
  </si>
  <si>
    <t>DAPP</t>
  </si>
  <si>
    <t>เหรียญที่มราคาแพงที่สุดในปี 2020</t>
  </si>
  <si>
    <t>Bitcoin (BTC)</t>
  </si>
  <si>
    <t>Ethereum (ETH)</t>
  </si>
  <si>
    <t>Yearn Finance (YFI)</t>
  </si>
  <si>
    <t>Bitcoin ถูกสร้างขึ้นในปีใด</t>
  </si>
  <si>
    <t>เหรียญ BNB ย่อมาจากอะไร</t>
  </si>
  <si>
    <t>Bananaboat coin</t>
  </si>
  <si>
    <t>Bologna coin</t>
  </si>
  <si>
    <t>Binance coin</t>
  </si>
  <si>
    <t>Bankbaht coin</t>
  </si>
  <si>
    <t>จากรูปคือเหรียญอะไร</t>
  </si>
  <si>
    <t>SHIBA token</t>
  </si>
  <si>
    <t>Husky token</t>
  </si>
  <si>
    <t>Kishu token</t>
  </si>
  <si>
    <t>อะไรคือข้อเสียของ Blockchain</t>
  </si>
  <si>
    <t>ผิดทุกข้อ</t>
  </si>
  <si>
    <t>EVM ใน Ethereum สามารถ Execute code ภาษาอะไรได้บ้าง</t>
  </si>
  <si>
    <t>Solidity</t>
  </si>
  <si>
    <t>C++, Java</t>
  </si>
  <si>
    <t>Machine code</t>
  </si>
  <si>
    <t>สกุลเงิน Cryptocurrency อันแรกของโลกคืออะไร</t>
  </si>
  <si>
    <t>Bitcoin</t>
  </si>
  <si>
    <t>ADA</t>
  </si>
  <si>
    <t>DOGE</t>
  </si>
  <si>
    <t>ETH</t>
  </si>
  <si>
    <t>Cryptocurrency สกุลแรกของโลกคืออะไร</t>
  </si>
  <si>
    <t>Ethereum</t>
  </si>
  <si>
    <t>Ripple</t>
  </si>
  <si>
    <t>ใครเป็นผู้สร้าง Bitcoin</t>
  </si>
  <si>
    <t>ซาโตชิ นากาโมโต</t>
  </si>
  <si>
    <t>เจฟฟ์ เบซอส</t>
  </si>
  <si>
    <t>อีลอน มัสก์</t>
  </si>
  <si>
    <t>บิลล์ เกตส์</t>
  </si>
  <si>
    <t>สกุลเงินของ Cryptocurrency สกุลเงินไหนเป็นที่นิยมมากที่สุด</t>
  </si>
  <si>
    <t>Altcoin</t>
  </si>
  <si>
    <t>ใครคือคนสร้าง Cryptocurrency</t>
  </si>
  <si>
    <t>Elon Musk</t>
  </si>
  <si>
    <t>Zachary Kirkhorn</t>
  </si>
  <si>
    <t>Steve Wozniak</t>
  </si>
  <si>
    <t>ถ้าเครื่องขุด Bitcoin สุ่มคำนวณจน nonce หมดแล้วจะทำอย่างไร</t>
  </si>
  <si>
    <t>เพิ่ม Transaction เข้าไปเพื่อให้ Merkle root Hash เปลี่ยน แล้วสุ่มใหม่</t>
  </si>
  <si>
    <t>ทำการ Hash SHA-256 อีกรอบเพื่อทำให้เป็น Triple hash SHA-256 แล้วสุ่มใหม่</t>
  </si>
  <si>
    <t>ไปเปลี่ยน Sig script ใน Coinbase transaction แล้วสุ่มใหม่</t>
  </si>
  <si>
    <t>ระเบิดตัวเองตายเพราะแค่นี้ก็ทำงานไม่สำเร็จ</t>
  </si>
  <si>
    <t>a</t>
  </si>
  <si>
    <t>response</t>
  </si>
  <si>
    <t>item</t>
  </si>
  <si>
    <t>u</t>
  </si>
  <si>
    <t>p</t>
  </si>
  <si>
    <t>q</t>
  </si>
  <si>
    <t>a(u-p)</t>
  </si>
  <si>
    <t>a*a(pq)</t>
  </si>
  <si>
    <t>θ^s</t>
  </si>
  <si>
    <t>sum</t>
  </si>
  <si>
    <t>Δ θ^s</t>
  </si>
  <si>
    <t xml:space="preserve"> θ^s +1 </t>
  </si>
  <si>
    <t xml:space="preserve"> θ^s 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</si>
</sst>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444444"/>
      <name val="Arial"/>
    </font>
    <font>
      <b/>
      <name val="Arial"/>
    </font>
    <font>
      <b/>
    </font>
    <font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5DBAFD"/>
        <bgColor rgb="FF5DBAFD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right" vertical="bottom"/>
    </xf>
    <xf borderId="1" fillId="3" fontId="2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right" vertical="bottom"/>
    </xf>
    <xf borderId="0" fillId="4" fontId="4" numFmtId="0" xfId="0" applyAlignment="1" applyFont="1">
      <alignment horizontal="center" vertical="bottom"/>
    </xf>
    <xf borderId="0" fillId="4" fontId="5" numFmtId="0" xfId="0" applyAlignment="1" applyFont="1">
      <alignment horizontal="center" readingOrder="0"/>
    </xf>
    <xf borderId="2" fillId="0" fontId="6" numFmtId="0" xfId="0" applyAlignment="1" applyBorder="1" applyFont="1">
      <alignment horizontal="right" vertical="bottom"/>
    </xf>
    <xf borderId="0" fillId="5" fontId="6" numFmtId="0" xfId="0" applyAlignment="1" applyFill="1" applyFont="1">
      <alignment vertical="bottom"/>
    </xf>
    <xf borderId="0" fillId="2" fontId="6" numFmtId="0" xfId="0" applyAlignment="1" applyFont="1">
      <alignment vertical="bottom"/>
    </xf>
    <xf borderId="0" fillId="5" fontId="6" numFmtId="0" xfId="0" applyAlignment="1" applyFont="1">
      <alignment horizontal="center" vertical="bottom"/>
    </xf>
    <xf borderId="0" fillId="5" fontId="7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201.0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>
        <v>4.0</v>
      </c>
      <c r="H2" s="6">
        <v>-3.0</v>
      </c>
    </row>
    <row r="3">
      <c r="A3" s="3">
        <v>206.0</v>
      </c>
      <c r="B3" s="4" t="s">
        <v>13</v>
      </c>
      <c r="C3" s="4" t="s">
        <v>14</v>
      </c>
      <c r="D3" s="5" t="s">
        <v>15</v>
      </c>
      <c r="E3" s="4" t="s">
        <v>16</v>
      </c>
      <c r="F3" s="4" t="s">
        <v>17</v>
      </c>
      <c r="G3" s="6">
        <v>2.0</v>
      </c>
      <c r="H3" s="6">
        <v>-2.455</v>
      </c>
    </row>
    <row r="4">
      <c r="A4" s="3">
        <v>109.0</v>
      </c>
      <c r="B4" s="4" t="s">
        <v>18</v>
      </c>
      <c r="C4" s="5" t="s">
        <v>19</v>
      </c>
      <c r="D4" s="4" t="s">
        <v>20</v>
      </c>
      <c r="E4" s="4" t="s">
        <v>21</v>
      </c>
      <c r="F4" s="4" t="s">
        <v>22</v>
      </c>
      <c r="G4" s="6">
        <v>1.0</v>
      </c>
      <c r="H4" s="6">
        <v>-2.25</v>
      </c>
    </row>
    <row r="5">
      <c r="A5" s="3">
        <v>110.0</v>
      </c>
      <c r="B5" s="4" t="s">
        <v>23</v>
      </c>
      <c r="C5" s="5" t="s">
        <v>24</v>
      </c>
      <c r="D5" s="4" t="s">
        <v>25</v>
      </c>
      <c r="E5" s="4" t="s">
        <v>26</v>
      </c>
      <c r="F5" s="4" t="s">
        <v>27</v>
      </c>
      <c r="G5" s="6">
        <v>1.0</v>
      </c>
      <c r="H5" s="6">
        <v>-2.25</v>
      </c>
    </row>
    <row r="6">
      <c r="A6" s="3">
        <v>302.0</v>
      </c>
      <c r="B6" s="4" t="s">
        <v>28</v>
      </c>
      <c r="C6" s="4" t="s">
        <v>29</v>
      </c>
      <c r="D6" s="5" t="s">
        <v>30</v>
      </c>
      <c r="E6" s="4" t="s">
        <v>31</v>
      </c>
      <c r="F6" s="4" t="s">
        <v>32</v>
      </c>
      <c r="G6" s="6">
        <v>2.0</v>
      </c>
      <c r="H6" s="7">
        <v>-1.908</v>
      </c>
    </row>
    <row r="7">
      <c r="A7" s="3">
        <v>310.0</v>
      </c>
      <c r="B7" s="4" t="s">
        <v>33</v>
      </c>
      <c r="C7" s="4" t="s">
        <v>34</v>
      </c>
      <c r="D7" s="5" t="s">
        <v>35</v>
      </c>
      <c r="E7" s="4" t="s">
        <v>36</v>
      </c>
      <c r="F7" s="4" t="s">
        <v>37</v>
      </c>
      <c r="G7" s="6">
        <v>2.0</v>
      </c>
      <c r="H7" s="8">
        <v>-1.908</v>
      </c>
    </row>
    <row r="8">
      <c r="A8" s="3">
        <v>103.0</v>
      </c>
      <c r="B8" s="4" t="s">
        <v>38</v>
      </c>
      <c r="C8" s="4" t="s">
        <v>39</v>
      </c>
      <c r="D8" s="4" t="s">
        <v>40</v>
      </c>
      <c r="E8" s="5" t="s">
        <v>41</v>
      </c>
      <c r="F8" s="4" t="s">
        <v>42</v>
      </c>
      <c r="G8" s="6">
        <v>3.0</v>
      </c>
      <c r="H8" s="6">
        <v>-1.5</v>
      </c>
    </row>
    <row r="9">
      <c r="A9" s="9">
        <v>106.0</v>
      </c>
      <c r="B9" s="4" t="s">
        <v>43</v>
      </c>
      <c r="C9" s="5" t="s">
        <v>44</v>
      </c>
      <c r="D9" s="4" t="s">
        <v>45</v>
      </c>
      <c r="E9" s="4" t="s">
        <v>46</v>
      </c>
      <c r="F9" s="4" t="s">
        <v>47</v>
      </c>
      <c r="G9" s="6">
        <v>1.0</v>
      </c>
      <c r="H9" s="6">
        <v>-1.5</v>
      </c>
    </row>
    <row r="10">
      <c r="A10" s="9">
        <v>202.0</v>
      </c>
      <c r="B10" s="4" t="s">
        <v>18</v>
      </c>
      <c r="C10" s="4" t="s">
        <v>48</v>
      </c>
      <c r="D10" s="4" t="s">
        <v>49</v>
      </c>
      <c r="E10" s="4" t="s">
        <v>50</v>
      </c>
      <c r="F10" s="5" t="s">
        <v>51</v>
      </c>
      <c r="G10" s="6">
        <v>4.0</v>
      </c>
      <c r="H10" s="6">
        <v>-0.818</v>
      </c>
    </row>
    <row r="11">
      <c r="A11" s="9">
        <v>204.0</v>
      </c>
      <c r="B11" s="4" t="s">
        <v>52</v>
      </c>
      <c r="C11" s="4" t="s">
        <v>53</v>
      </c>
      <c r="D11" s="4" t="s">
        <v>54</v>
      </c>
      <c r="E11" s="5" t="s">
        <v>55</v>
      </c>
      <c r="F11" s="4" t="s">
        <v>56</v>
      </c>
      <c r="G11" s="6">
        <v>3.0</v>
      </c>
      <c r="H11" s="6">
        <v>-0.818</v>
      </c>
    </row>
    <row r="12">
      <c r="A12" s="9">
        <v>207.0</v>
      </c>
      <c r="B12" s="4" t="s">
        <v>57</v>
      </c>
      <c r="C12" s="5" t="s">
        <v>58</v>
      </c>
      <c r="D12" s="4" t="s">
        <v>59</v>
      </c>
      <c r="E12" s="4" t="s">
        <v>60</v>
      </c>
      <c r="F12" s="4" t="s">
        <v>61</v>
      </c>
      <c r="G12" s="6">
        <v>1.0</v>
      </c>
      <c r="H12" s="6">
        <v>-0.818</v>
      </c>
    </row>
    <row r="13">
      <c r="A13" s="9">
        <v>305.0</v>
      </c>
      <c r="B13" s="4" t="s">
        <v>62</v>
      </c>
      <c r="C13" s="5" t="s">
        <v>63</v>
      </c>
      <c r="D13" s="4" t="s">
        <v>64</v>
      </c>
      <c r="E13" s="4" t="s">
        <v>65</v>
      </c>
      <c r="F13" s="4" t="s">
        <v>66</v>
      </c>
      <c r="G13" s="6">
        <v>1.0</v>
      </c>
      <c r="H13" s="10">
        <v>-0.816</v>
      </c>
    </row>
    <row r="14">
      <c r="A14" s="9">
        <v>308.0</v>
      </c>
      <c r="B14" s="4" t="s">
        <v>67</v>
      </c>
      <c r="C14" s="4" t="s">
        <v>68</v>
      </c>
      <c r="D14" s="4" t="s">
        <v>69</v>
      </c>
      <c r="E14" s="5" t="s">
        <v>70</v>
      </c>
      <c r="F14" s="4" t="s">
        <v>71</v>
      </c>
      <c r="G14" s="6">
        <v>3.0</v>
      </c>
      <c r="H14" s="10">
        <v>-0.816</v>
      </c>
    </row>
    <row r="15">
      <c r="A15" s="9">
        <v>101.0</v>
      </c>
      <c r="B15" s="4" t="s">
        <v>72</v>
      </c>
      <c r="C15" s="4" t="s">
        <v>73</v>
      </c>
      <c r="D15" s="4" t="s">
        <v>74</v>
      </c>
      <c r="E15" s="5" t="s">
        <v>75</v>
      </c>
      <c r="F15" s="4" t="s">
        <v>76</v>
      </c>
      <c r="G15" s="6">
        <v>3.0</v>
      </c>
      <c r="H15" s="11">
        <v>-0.75</v>
      </c>
    </row>
    <row r="16">
      <c r="A16" s="9">
        <v>102.0</v>
      </c>
      <c r="B16" s="4" t="s">
        <v>77</v>
      </c>
      <c r="C16" s="4" t="s">
        <v>78</v>
      </c>
      <c r="D16" s="4" t="s">
        <v>79</v>
      </c>
      <c r="E16" s="4" t="s">
        <v>80</v>
      </c>
      <c r="F16" s="5" t="s">
        <v>81</v>
      </c>
      <c r="G16" s="6">
        <v>4.0</v>
      </c>
      <c r="H16" s="11">
        <v>-0.75</v>
      </c>
    </row>
    <row r="17">
      <c r="A17" s="9">
        <v>208.0</v>
      </c>
      <c r="B17" s="4" t="s">
        <v>82</v>
      </c>
      <c r="C17" s="4" t="s">
        <v>55</v>
      </c>
      <c r="D17" s="5" t="s">
        <v>83</v>
      </c>
      <c r="E17" s="4" t="s">
        <v>84</v>
      </c>
      <c r="F17" s="4" t="s">
        <v>85</v>
      </c>
      <c r="G17" s="6">
        <v>2.0</v>
      </c>
      <c r="H17" s="11">
        <v>-0.273</v>
      </c>
    </row>
    <row r="18">
      <c r="A18" s="9">
        <v>307.0</v>
      </c>
      <c r="B18" s="4" t="s">
        <v>86</v>
      </c>
      <c r="C18" s="4" t="s">
        <v>87</v>
      </c>
      <c r="D18" s="4" t="s">
        <v>88</v>
      </c>
      <c r="E18" s="5" t="s">
        <v>89</v>
      </c>
      <c r="F18" s="4" t="s">
        <v>90</v>
      </c>
      <c r="G18" s="6">
        <v>3.0</v>
      </c>
      <c r="H18" s="10">
        <v>-0.27</v>
      </c>
    </row>
    <row r="19">
      <c r="A19" s="3">
        <v>104.0</v>
      </c>
      <c r="B19" s="4" t="s">
        <v>91</v>
      </c>
      <c r="C19" s="4" t="s">
        <v>92</v>
      </c>
      <c r="D19" s="5" t="s">
        <v>93</v>
      </c>
      <c r="E19" s="4" t="s">
        <v>94</v>
      </c>
      <c r="F19" s="4" t="s">
        <v>95</v>
      </c>
      <c r="G19" s="6">
        <v>2.0</v>
      </c>
      <c r="H19" s="11">
        <v>0.0</v>
      </c>
    </row>
    <row r="20">
      <c r="A20" s="3">
        <v>108.0</v>
      </c>
      <c r="B20" s="4" t="s">
        <v>96</v>
      </c>
      <c r="C20" s="4" t="s">
        <v>97</v>
      </c>
      <c r="D20" s="5" t="s">
        <v>98</v>
      </c>
      <c r="E20" s="4" t="s">
        <v>99</v>
      </c>
      <c r="F20" s="4" t="s">
        <v>100</v>
      </c>
      <c r="G20" s="6">
        <v>2.0</v>
      </c>
      <c r="H20" s="11">
        <v>0.0</v>
      </c>
    </row>
    <row r="21">
      <c r="A21" s="3">
        <v>403.0</v>
      </c>
      <c r="B21" s="4" t="s">
        <v>101</v>
      </c>
      <c r="C21" s="4" t="s">
        <v>102</v>
      </c>
      <c r="D21" s="4" t="s">
        <v>10</v>
      </c>
      <c r="E21" s="4" t="s">
        <v>103</v>
      </c>
      <c r="F21" s="5" t="s">
        <v>104</v>
      </c>
      <c r="G21" s="6">
        <v>4.0</v>
      </c>
      <c r="H21" s="11">
        <v>0.0</v>
      </c>
    </row>
    <row r="22">
      <c r="A22" s="3">
        <v>406.0</v>
      </c>
      <c r="B22" s="4" t="s">
        <v>105</v>
      </c>
      <c r="C22" s="4" t="s">
        <v>106</v>
      </c>
      <c r="D22" s="4" t="s">
        <v>107</v>
      </c>
      <c r="E22" s="4" t="s">
        <v>108</v>
      </c>
      <c r="F22" s="5" t="s">
        <v>109</v>
      </c>
      <c r="G22" s="6">
        <v>4.0</v>
      </c>
      <c r="H22" s="6">
        <v>0.0</v>
      </c>
    </row>
    <row r="23">
      <c r="A23" s="3">
        <v>303.0</v>
      </c>
      <c r="B23" s="4" t="s">
        <v>110</v>
      </c>
      <c r="C23" s="4" t="s">
        <v>111</v>
      </c>
      <c r="D23" s="4" t="s">
        <v>112</v>
      </c>
      <c r="E23" s="4" t="s">
        <v>113</v>
      </c>
      <c r="F23" s="5" t="s">
        <v>114</v>
      </c>
      <c r="G23" s="6">
        <v>4.0</v>
      </c>
      <c r="H23" s="6">
        <v>0.27</v>
      </c>
    </row>
    <row r="24">
      <c r="A24" s="3">
        <v>402.0</v>
      </c>
      <c r="B24" s="4" t="s">
        <v>115</v>
      </c>
      <c r="C24" s="4" t="s">
        <v>92</v>
      </c>
      <c r="D24" s="4" t="s">
        <v>116</v>
      </c>
      <c r="E24" s="4" t="s">
        <v>93</v>
      </c>
      <c r="F24" s="5" t="s">
        <v>117</v>
      </c>
      <c r="G24" s="6">
        <v>4.0</v>
      </c>
      <c r="H24" s="6">
        <v>0.6</v>
      </c>
    </row>
    <row r="25">
      <c r="A25" s="3">
        <v>408.0</v>
      </c>
      <c r="B25" s="4" t="s">
        <v>118</v>
      </c>
      <c r="C25" s="4" t="s">
        <v>119</v>
      </c>
      <c r="D25" s="5" t="s">
        <v>120</v>
      </c>
      <c r="E25" s="4" t="s">
        <v>121</v>
      </c>
      <c r="F25" s="4" t="s">
        <v>122</v>
      </c>
      <c r="G25" s="6">
        <v>2.0</v>
      </c>
      <c r="H25" s="6">
        <v>0.6</v>
      </c>
    </row>
    <row r="26">
      <c r="A26" s="3">
        <v>105.0</v>
      </c>
      <c r="B26" s="4" t="s">
        <v>123</v>
      </c>
      <c r="C26" s="3">
        <v>15.0</v>
      </c>
      <c r="D26" s="3">
        <v>16.0</v>
      </c>
      <c r="E26" s="3">
        <v>18.0</v>
      </c>
      <c r="F26" s="12">
        <v>20.0</v>
      </c>
      <c r="G26" s="6">
        <v>4.0</v>
      </c>
      <c r="H26" s="6">
        <v>0.75</v>
      </c>
    </row>
    <row r="27">
      <c r="A27" s="3">
        <v>306.0</v>
      </c>
      <c r="B27" s="4" t="s">
        <v>124</v>
      </c>
      <c r="C27" s="4" t="s">
        <v>125</v>
      </c>
      <c r="D27" s="5" t="s">
        <v>126</v>
      </c>
      <c r="E27" s="4" t="s">
        <v>127</v>
      </c>
      <c r="F27" s="4" t="s">
        <v>128</v>
      </c>
      <c r="G27" s="6">
        <v>2.0</v>
      </c>
      <c r="H27" s="8">
        <v>0.816</v>
      </c>
    </row>
    <row r="28">
      <c r="A28" s="3">
        <v>205.0</v>
      </c>
      <c r="B28" s="4" t="s">
        <v>129</v>
      </c>
      <c r="C28" s="5" t="s">
        <v>130</v>
      </c>
      <c r="D28" s="4" t="s">
        <v>131</v>
      </c>
      <c r="E28" s="4" t="s">
        <v>132</v>
      </c>
      <c r="F28" s="4" t="s">
        <v>133</v>
      </c>
      <c r="G28" s="6">
        <v>1.0</v>
      </c>
      <c r="H28" s="6">
        <v>0.818</v>
      </c>
    </row>
    <row r="29">
      <c r="A29" s="3">
        <v>209.0</v>
      </c>
      <c r="B29" s="4" t="s">
        <v>134</v>
      </c>
      <c r="C29" s="4" t="s">
        <v>135</v>
      </c>
      <c r="D29" s="4" t="s">
        <v>136</v>
      </c>
      <c r="E29" s="5" t="s">
        <v>137</v>
      </c>
      <c r="F29" s="4" t="s">
        <v>138</v>
      </c>
      <c r="G29" s="6">
        <v>3.0</v>
      </c>
      <c r="H29" s="6">
        <v>0.818</v>
      </c>
    </row>
    <row r="30">
      <c r="A30" s="3">
        <v>401.0</v>
      </c>
      <c r="B30" s="4" t="s">
        <v>139</v>
      </c>
      <c r="C30" s="5" t="s">
        <v>140</v>
      </c>
      <c r="D30" s="4" t="s">
        <v>141</v>
      </c>
      <c r="E30" s="4" t="s">
        <v>142</v>
      </c>
      <c r="F30" s="4" t="s">
        <v>104</v>
      </c>
      <c r="G30" s="6">
        <v>1.0</v>
      </c>
      <c r="H30" s="6">
        <v>1.8</v>
      </c>
    </row>
    <row r="31">
      <c r="A31" s="3">
        <v>405.0</v>
      </c>
      <c r="B31" s="4" t="s">
        <v>143</v>
      </c>
      <c r="C31" s="12">
        <v>2009.0</v>
      </c>
      <c r="D31" s="3">
        <v>2010.0</v>
      </c>
      <c r="E31" s="3">
        <v>2011.0</v>
      </c>
      <c r="F31" s="3">
        <v>2012.0</v>
      </c>
      <c r="G31" s="6">
        <v>1.0</v>
      </c>
      <c r="H31" s="6">
        <v>1.8</v>
      </c>
    </row>
    <row r="32">
      <c r="A32" s="3">
        <v>409.0</v>
      </c>
      <c r="B32" s="4" t="s">
        <v>144</v>
      </c>
      <c r="C32" s="4" t="s">
        <v>145</v>
      </c>
      <c r="D32" s="5" t="s">
        <v>146</v>
      </c>
      <c r="E32" s="4" t="s">
        <v>147</v>
      </c>
      <c r="F32" s="4" t="s">
        <v>148</v>
      </c>
      <c r="G32" s="6">
        <v>2.0</v>
      </c>
      <c r="H32" s="6">
        <v>1.8</v>
      </c>
    </row>
    <row r="33">
      <c r="A33" s="3">
        <v>410.0</v>
      </c>
      <c r="B33" s="4" t="s">
        <v>149</v>
      </c>
      <c r="C33" s="5" t="s">
        <v>11</v>
      </c>
      <c r="D33" s="4" t="s">
        <v>150</v>
      </c>
      <c r="E33" s="4" t="s">
        <v>151</v>
      </c>
      <c r="F33" s="4" t="s">
        <v>152</v>
      </c>
      <c r="G33" s="6">
        <v>1.0</v>
      </c>
      <c r="H33" s="6">
        <v>1.8</v>
      </c>
    </row>
    <row r="34">
      <c r="A34" s="3">
        <v>203.0</v>
      </c>
      <c r="B34" s="4" t="s">
        <v>153</v>
      </c>
      <c r="C34" s="5" t="s">
        <v>63</v>
      </c>
      <c r="D34" s="4" t="s">
        <v>64</v>
      </c>
      <c r="E34" s="4" t="s">
        <v>64</v>
      </c>
      <c r="F34" s="4" t="s">
        <v>154</v>
      </c>
      <c r="G34" s="6">
        <v>1.0</v>
      </c>
      <c r="H34" s="6">
        <v>1.909</v>
      </c>
    </row>
    <row r="35">
      <c r="A35" s="3">
        <v>210.0</v>
      </c>
      <c r="B35" s="4" t="s">
        <v>155</v>
      </c>
      <c r="C35" s="4" t="s">
        <v>156</v>
      </c>
      <c r="D35" s="4" t="s">
        <v>157</v>
      </c>
      <c r="E35" s="5" t="s">
        <v>158</v>
      </c>
      <c r="F35" s="4" t="s">
        <v>12</v>
      </c>
      <c r="G35" s="6">
        <v>3.0</v>
      </c>
      <c r="H35" s="6">
        <v>1.909</v>
      </c>
    </row>
    <row r="36">
      <c r="A36" s="3">
        <v>107.0</v>
      </c>
      <c r="B36" s="4" t="s">
        <v>159</v>
      </c>
      <c r="C36" s="5" t="s">
        <v>160</v>
      </c>
      <c r="D36" s="4" t="s">
        <v>161</v>
      </c>
      <c r="E36" s="4" t="s">
        <v>162</v>
      </c>
      <c r="F36" s="4" t="s">
        <v>163</v>
      </c>
      <c r="G36" s="6">
        <v>1.0</v>
      </c>
      <c r="H36" s="6">
        <v>2.25</v>
      </c>
    </row>
    <row r="37">
      <c r="A37" s="3">
        <v>404.0</v>
      </c>
      <c r="B37" s="4" t="s">
        <v>164</v>
      </c>
      <c r="C37" s="5" t="s">
        <v>160</v>
      </c>
      <c r="D37" s="4" t="s">
        <v>165</v>
      </c>
      <c r="E37" s="4" t="s">
        <v>166</v>
      </c>
      <c r="F37" s="4" t="s">
        <v>11</v>
      </c>
      <c r="G37" s="6">
        <v>1.0</v>
      </c>
      <c r="H37" s="6">
        <v>2.4</v>
      </c>
    </row>
    <row r="38">
      <c r="A38" s="3">
        <v>407.0</v>
      </c>
      <c r="B38" s="4" t="s">
        <v>167</v>
      </c>
      <c r="C38" s="5" t="s">
        <v>168</v>
      </c>
      <c r="D38" s="4" t="s">
        <v>169</v>
      </c>
      <c r="E38" s="4" t="s">
        <v>170</v>
      </c>
      <c r="F38" s="4" t="s">
        <v>171</v>
      </c>
      <c r="G38" s="6">
        <v>1.0</v>
      </c>
      <c r="H38" s="6">
        <v>2.4</v>
      </c>
    </row>
    <row r="39">
      <c r="A39" s="3">
        <v>301.0</v>
      </c>
      <c r="B39" s="4" t="s">
        <v>172</v>
      </c>
      <c r="C39" s="5" t="s">
        <v>160</v>
      </c>
      <c r="D39" s="4" t="s">
        <v>173</v>
      </c>
      <c r="E39" s="4" t="s">
        <v>165</v>
      </c>
      <c r="F39" s="4" t="s">
        <v>10</v>
      </c>
      <c r="G39" s="6">
        <v>1.0</v>
      </c>
      <c r="H39" s="7">
        <v>2.454</v>
      </c>
    </row>
    <row r="40">
      <c r="A40" s="3">
        <v>304.0</v>
      </c>
      <c r="B40" s="4" t="s">
        <v>174</v>
      </c>
      <c r="C40" s="4" t="s">
        <v>175</v>
      </c>
      <c r="D40" s="5" t="s">
        <v>15</v>
      </c>
      <c r="E40" s="4" t="s">
        <v>176</v>
      </c>
      <c r="F40" s="4" t="s">
        <v>177</v>
      </c>
      <c r="G40" s="6">
        <v>2.0</v>
      </c>
      <c r="H40" s="6">
        <v>2.454</v>
      </c>
    </row>
    <row r="41">
      <c r="A41" s="3">
        <v>309.0</v>
      </c>
      <c r="B41" s="4" t="s">
        <v>178</v>
      </c>
      <c r="C41" s="4" t="s">
        <v>179</v>
      </c>
      <c r="D41" s="4" t="s">
        <v>180</v>
      </c>
      <c r="E41" s="5" t="s">
        <v>181</v>
      </c>
      <c r="F41" s="4" t="s">
        <v>182</v>
      </c>
      <c r="G41" s="6">
        <v>3.0</v>
      </c>
      <c r="H41" s="8">
        <v>2.454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21.71"/>
    <col customWidth="1" min="5" max="5" width="20.29"/>
    <col customWidth="1" min="6" max="6" width="17.57"/>
    <col customWidth="1" min="7" max="7" width="16.86"/>
    <col customWidth="1" min="8" max="8" width="16.71"/>
  </cols>
  <sheetData>
    <row r="1">
      <c r="A1" s="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183</v>
      </c>
      <c r="J1" s="14" t="s">
        <v>184</v>
      </c>
    </row>
    <row r="2">
      <c r="A2" s="15">
        <v>110.0</v>
      </c>
      <c r="B2" s="16" t="s">
        <v>23</v>
      </c>
      <c r="C2" s="17" t="s">
        <v>24</v>
      </c>
      <c r="D2" s="16" t="s">
        <v>25</v>
      </c>
      <c r="E2" s="16" t="s">
        <v>26</v>
      </c>
      <c r="F2" s="16" t="s">
        <v>27</v>
      </c>
      <c r="G2" s="18">
        <v>1.0</v>
      </c>
      <c r="H2" s="18">
        <v>-2.25</v>
      </c>
      <c r="I2" s="19">
        <v>1.0</v>
      </c>
      <c r="J2" s="19">
        <v>1.0</v>
      </c>
    </row>
    <row r="3">
      <c r="A3" s="15">
        <v>406.0</v>
      </c>
      <c r="B3" s="16" t="s">
        <v>105</v>
      </c>
      <c r="C3" s="16" t="s">
        <v>106</v>
      </c>
      <c r="D3" s="16" t="s">
        <v>107</v>
      </c>
      <c r="E3" s="16" t="s">
        <v>108</v>
      </c>
      <c r="F3" s="17" t="s">
        <v>109</v>
      </c>
      <c r="G3" s="18">
        <v>4.0</v>
      </c>
      <c r="H3" s="18">
        <v>0.0</v>
      </c>
      <c r="I3" s="19">
        <v>1.0</v>
      </c>
      <c r="J3" s="19">
        <v>1.0</v>
      </c>
    </row>
    <row r="4">
      <c r="A4" s="15">
        <v>107.0</v>
      </c>
      <c r="B4" s="16" t="s">
        <v>159</v>
      </c>
      <c r="C4" s="17" t="s">
        <v>160</v>
      </c>
      <c r="D4" s="16" t="s">
        <v>161</v>
      </c>
      <c r="E4" s="16" t="s">
        <v>162</v>
      </c>
      <c r="F4" s="16" t="s">
        <v>163</v>
      </c>
      <c r="G4" s="18">
        <v>1.0</v>
      </c>
      <c r="H4" s="18">
        <v>2.25</v>
      </c>
      <c r="I4" s="19">
        <v>1.0</v>
      </c>
      <c r="J4" s="19">
        <v>0.0</v>
      </c>
    </row>
    <row r="8">
      <c r="C8" s="20" t="s">
        <v>185</v>
      </c>
      <c r="D8" s="20" t="s">
        <v>186</v>
      </c>
      <c r="E8" s="20" t="s">
        <v>187</v>
      </c>
      <c r="F8" s="20" t="s">
        <v>188</v>
      </c>
      <c r="G8" s="20" t="s">
        <v>189</v>
      </c>
      <c r="H8" s="20" t="s">
        <v>190</v>
      </c>
      <c r="L8" s="21"/>
      <c r="M8" s="21"/>
      <c r="N8" s="21"/>
      <c r="O8" s="21"/>
      <c r="P8" s="21"/>
      <c r="Q8" s="21"/>
    </row>
    <row r="9">
      <c r="A9" s="21" t="s">
        <v>191</v>
      </c>
      <c r="B9" s="21">
        <v>1.0</v>
      </c>
      <c r="C9" s="22">
        <v>1.0</v>
      </c>
      <c r="D9" s="22">
        <f t="shared" ref="D9:D11" si="1">J2</f>
        <v>1</v>
      </c>
      <c r="E9" s="23">
        <f t="shared" ref="E9:E11" si="2">1/(1+EXP(-($B$9-H2)))</f>
        <v>0.9626731127</v>
      </c>
      <c r="F9" s="23">
        <f t="shared" ref="F9:F11" si="3">1-E9</f>
        <v>0.03732688734</v>
      </c>
      <c r="G9" s="23">
        <f t="shared" ref="G9:G11" si="4">D9-E9</f>
        <v>0.03732688734</v>
      </c>
      <c r="H9" s="23">
        <f t="shared" ref="H9:H11" si="5">E9*F9</f>
        <v>0.03593359083</v>
      </c>
      <c r="L9" s="21"/>
      <c r="M9" s="21"/>
    </row>
    <row r="10">
      <c r="C10" s="22">
        <v>2.0</v>
      </c>
      <c r="D10" s="22">
        <f t="shared" si="1"/>
        <v>1</v>
      </c>
      <c r="E10" s="23">
        <f t="shared" si="2"/>
        <v>0.7310585786</v>
      </c>
      <c r="F10" s="23">
        <f t="shared" si="3"/>
        <v>0.2689414214</v>
      </c>
      <c r="G10" s="23">
        <f t="shared" si="4"/>
        <v>0.2689414214</v>
      </c>
      <c r="H10" s="23">
        <f t="shared" si="5"/>
        <v>0.1966119332</v>
      </c>
      <c r="L10" s="21"/>
      <c r="M10" s="21"/>
    </row>
    <row r="11">
      <c r="C11" s="22">
        <v>3.0</v>
      </c>
      <c r="D11" s="22">
        <f t="shared" si="1"/>
        <v>0</v>
      </c>
      <c r="E11" s="23">
        <f t="shared" si="2"/>
        <v>0.2227001388</v>
      </c>
      <c r="F11" s="23">
        <f t="shared" si="3"/>
        <v>0.7772998612</v>
      </c>
      <c r="G11" s="23">
        <f t="shared" si="4"/>
        <v>-0.2227001388</v>
      </c>
      <c r="H11" s="23">
        <f t="shared" si="5"/>
        <v>0.173104787</v>
      </c>
      <c r="L11" s="21"/>
      <c r="M11" s="21"/>
    </row>
    <row r="12">
      <c r="C12" s="23"/>
      <c r="D12" s="23"/>
      <c r="E12" s="23"/>
      <c r="F12" s="22" t="s">
        <v>192</v>
      </c>
      <c r="G12" s="23">
        <f t="shared" ref="G12:H12" si="6">SUM(G9:G11)</f>
        <v>0.08356816989</v>
      </c>
      <c r="H12" s="23">
        <f t="shared" si="6"/>
        <v>0.4056503111</v>
      </c>
      <c r="O12" s="21"/>
    </row>
    <row r="13">
      <c r="D13" s="21" t="s">
        <v>193</v>
      </c>
      <c r="E13" s="24" t="s">
        <v>194</v>
      </c>
    </row>
    <row r="14">
      <c r="C14" s="25"/>
      <c r="D14" s="26">
        <f>G12/H12</f>
        <v>0.2060103681</v>
      </c>
      <c r="E14" s="21">
        <f>1+D14</f>
        <v>1.206010368</v>
      </c>
    </row>
    <row r="16">
      <c r="C16" s="20" t="s">
        <v>185</v>
      </c>
      <c r="D16" s="20" t="s">
        <v>186</v>
      </c>
      <c r="E16" s="20" t="s">
        <v>187</v>
      </c>
      <c r="F16" s="20" t="s">
        <v>188</v>
      </c>
      <c r="G16" s="20" t="s">
        <v>189</v>
      </c>
      <c r="H16" s="20" t="s">
        <v>190</v>
      </c>
      <c r="L16" s="21"/>
      <c r="M16" s="21"/>
      <c r="N16" s="21"/>
      <c r="O16" s="21"/>
      <c r="P16" s="21"/>
      <c r="Q16" s="21"/>
    </row>
    <row r="17">
      <c r="C17" s="22">
        <v>1.0</v>
      </c>
      <c r="D17" s="22">
        <f t="shared" ref="D17:D19" si="7">J2</f>
        <v>1</v>
      </c>
      <c r="E17" s="23">
        <f>1/(1+EXP(-($E$14-H$2)))</f>
        <v>0.969409878</v>
      </c>
      <c r="F17" s="23">
        <f t="shared" ref="F17:F19" si="8">1-E17</f>
        <v>0.03059012196</v>
      </c>
      <c r="G17" s="23">
        <f t="shared" ref="G17:G19" si="9">D17-E17</f>
        <v>0.03059012196</v>
      </c>
      <c r="H17" s="23">
        <f t="shared" ref="H17:H19" si="10">E17*F17</f>
        <v>0.0296543664</v>
      </c>
      <c r="L17" s="21"/>
      <c r="M17" s="21"/>
    </row>
    <row r="18">
      <c r="C18" s="22">
        <v>2.0</v>
      </c>
      <c r="D18" s="22">
        <f t="shared" si="7"/>
        <v>1</v>
      </c>
      <c r="E18" s="23">
        <f>1/(1+EXP(-($E$14-H$3)))</f>
        <v>0.7695922685</v>
      </c>
      <c r="F18" s="23">
        <f t="shared" si="8"/>
        <v>0.2304077315</v>
      </c>
      <c r="G18" s="23">
        <f t="shared" si="9"/>
        <v>0.2304077315</v>
      </c>
      <c r="H18" s="23">
        <f t="shared" si="10"/>
        <v>0.1773200088</v>
      </c>
      <c r="L18" s="21"/>
      <c r="M18" s="21"/>
    </row>
    <row r="19">
      <c r="C19" s="22">
        <v>3.0</v>
      </c>
      <c r="D19" s="22">
        <f t="shared" si="7"/>
        <v>0</v>
      </c>
      <c r="E19" s="23">
        <f>1/(1+EXP(-($E$14-H$4)))</f>
        <v>0.2603809256</v>
      </c>
      <c r="F19" s="23">
        <f t="shared" si="8"/>
        <v>0.7396190744</v>
      </c>
      <c r="G19" s="23">
        <f t="shared" si="9"/>
        <v>-0.2603809256</v>
      </c>
      <c r="H19" s="23">
        <f t="shared" si="10"/>
        <v>0.1925826992</v>
      </c>
      <c r="L19" s="21"/>
      <c r="M19" s="21"/>
    </row>
    <row r="20">
      <c r="C20" s="23"/>
      <c r="D20" s="23"/>
      <c r="E20" s="23"/>
      <c r="F20" s="22" t="s">
        <v>192</v>
      </c>
      <c r="G20" s="23">
        <f t="shared" ref="G20:H20" si="11">SUM(G17:G19)</f>
        <v>0.0006169278327</v>
      </c>
      <c r="H20" s="23">
        <f t="shared" si="11"/>
        <v>0.3995570744</v>
      </c>
      <c r="O20" s="21"/>
    </row>
    <row r="21">
      <c r="D21" s="21" t="s">
        <v>193</v>
      </c>
      <c r="E21" s="21" t="s">
        <v>195</v>
      </c>
    </row>
    <row r="22">
      <c r="C22" s="25"/>
      <c r="D22" s="26">
        <f>G20/H20</f>
        <v>0.001544029307</v>
      </c>
      <c r="E22" s="26">
        <f>E14+D22</f>
        <v>1.207554397</v>
      </c>
    </row>
    <row r="24">
      <c r="C24" s="20" t="s">
        <v>185</v>
      </c>
      <c r="D24" s="20" t="s">
        <v>186</v>
      </c>
      <c r="E24" s="20" t="s">
        <v>187</v>
      </c>
      <c r="F24" s="20" t="s">
        <v>188</v>
      </c>
      <c r="G24" s="20" t="s">
        <v>189</v>
      </c>
      <c r="H24" s="20" t="s">
        <v>190</v>
      </c>
    </row>
    <row r="25">
      <c r="C25" s="22">
        <v>1.0</v>
      </c>
      <c r="D25" s="22">
        <f t="shared" ref="D25:D27" si="12">J2</f>
        <v>1</v>
      </c>
      <c r="E25" s="23">
        <f t="shared" ref="E25:E27" si="13">1/(1+EXP(-($E$22-H2)))</f>
        <v>0.9694556321</v>
      </c>
      <c r="F25" s="23">
        <f t="shared" ref="F25:F27" si="14">1-E25</f>
        <v>0.03054436792</v>
      </c>
      <c r="G25" s="23">
        <f t="shared" ref="G25:G27" si="15">D25-E25</f>
        <v>0.03054436792</v>
      </c>
      <c r="H25" s="23">
        <f t="shared" ref="H25:H27" si="16">E25*F25</f>
        <v>0.02961140951</v>
      </c>
    </row>
    <row r="26">
      <c r="C26" s="22">
        <v>2.0</v>
      </c>
      <c r="D26" s="22">
        <f t="shared" si="12"/>
        <v>1</v>
      </c>
      <c r="E26" s="23">
        <f t="shared" si="13"/>
        <v>0.7698659418</v>
      </c>
      <c r="F26" s="23">
        <f t="shared" si="14"/>
        <v>0.2301340582</v>
      </c>
      <c r="G26" s="23">
        <f t="shared" si="15"/>
        <v>0.2301340582</v>
      </c>
      <c r="H26" s="23">
        <f t="shared" si="16"/>
        <v>0.1771723734</v>
      </c>
    </row>
    <row r="27">
      <c r="C27" s="22">
        <v>3.0</v>
      </c>
      <c r="D27" s="22">
        <f t="shared" si="12"/>
        <v>0</v>
      </c>
      <c r="E27" s="23">
        <f t="shared" si="13"/>
        <v>0.260678389</v>
      </c>
      <c r="F27" s="23">
        <f t="shared" si="14"/>
        <v>0.739321611</v>
      </c>
      <c r="G27" s="23">
        <f t="shared" si="15"/>
        <v>-0.260678389</v>
      </c>
      <c r="H27" s="23">
        <f t="shared" si="16"/>
        <v>0.1927251665</v>
      </c>
    </row>
    <row r="28">
      <c r="C28" s="23"/>
      <c r="D28" s="23"/>
      <c r="E28" s="23"/>
      <c r="F28" s="22" t="s">
        <v>192</v>
      </c>
      <c r="G28" s="23">
        <f t="shared" ref="G28:H28" si="17">SUM(G25:G27)</f>
        <v>0.00000003714794977</v>
      </c>
      <c r="H28" s="23">
        <f t="shared" si="17"/>
        <v>0.3995089494</v>
      </c>
    </row>
    <row r="29">
      <c r="D29" s="21" t="s">
        <v>193</v>
      </c>
      <c r="E29" s="21" t="s">
        <v>195</v>
      </c>
    </row>
    <row r="30">
      <c r="C30" s="25"/>
      <c r="D30" s="26">
        <f>G28/H28</f>
        <v>0.00000009298402407</v>
      </c>
      <c r="E30" s="26">
        <f>E22+D30</f>
        <v>1.20755449</v>
      </c>
    </row>
  </sheetData>
  <drawing r:id="rId1"/>
</worksheet>
</file>